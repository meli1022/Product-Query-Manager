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\Desktop\Second Desktop\CP212 Labs and Assignments\pint7880_a04\"/>
    </mc:Choice>
  </mc:AlternateContent>
  <xr:revisionPtr revIDLastSave="0" documentId="13_ncr:1_{C964842F-F3F3-4726-8786-8000C8D0BCDB}" xr6:coauthVersionLast="46" xr6:coauthVersionMax="46" xr10:uidLastSave="{00000000-0000-0000-0000-000000000000}"/>
  <bookViews>
    <workbookView xWindow="-110" yWindow="-110" windowWidth="19420" windowHeight="10420" activeTab="1" xr2:uid="{C0091DF5-DB6C-4B14-8FAD-D89EE72921AA}"/>
  </bookViews>
  <sheets>
    <sheet name="Profit Margin" sheetId="3" r:id="rId1"/>
    <sheet name="Northwi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3" l="1"/>
  <c r="C14" i="3"/>
  <c r="D7" i="3"/>
  <c r="D6" i="3"/>
  <c r="D5" i="3"/>
  <c r="F5" i="3" a="1"/>
  <c r="C15" i="3" a="1"/>
  <c r="F6" i="3" a="1"/>
  <c r="C23" i="3" a="1"/>
  <c r="F7" i="3" a="1"/>
  <c r="F5" i="3" l="1"/>
  <c r="C23" i="3"/>
  <c r="C15" i="3"/>
  <c r="F6" i="3"/>
  <c r="F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<sst xmlns="http://schemas.openxmlformats.org/spreadsheetml/2006/main" count="25" uniqueCount="20">
  <si>
    <t>Gross Profit Margin</t>
  </si>
  <si>
    <t>Teddy Bear</t>
  </si>
  <si>
    <t>Lego Set</t>
  </si>
  <si>
    <t>Barbie</t>
  </si>
  <si>
    <t>Product</t>
  </si>
  <si>
    <t>Units Sold</t>
  </si>
  <si>
    <t>Operating Profit Margin</t>
  </si>
  <si>
    <t>Operating Profit Margin:</t>
  </si>
  <si>
    <t>Operating Expenses:</t>
  </si>
  <si>
    <t xml:space="preserve">Revenue </t>
  </si>
  <si>
    <t>COG</t>
  </si>
  <si>
    <t>Price per Unit</t>
  </si>
  <si>
    <t>Revenue:</t>
  </si>
  <si>
    <t>Net Profit Margin</t>
  </si>
  <si>
    <t>Debt Payments:</t>
  </si>
  <si>
    <t>Total Cost:</t>
  </si>
  <si>
    <t>COG:</t>
  </si>
  <si>
    <t>Net Profit Margin:</t>
  </si>
  <si>
    <t xml:space="preserve">        Welcome To Northwind</t>
  </si>
  <si>
    <t xml:space="preserve"> Click the button below to view product,customer,and order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</si>
</sst>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8" formatCode="&quot;$&quot;#,##0.00;[Red]\-&quot;$&quot;#,##0.00"/>
  </numFmts>
  <fonts count="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5" fillId="3" borderId="0" applyNumberFormat="0" applyBorder="0" applyAlignment="0" applyProtection="0"/>
  </cellStyleXfs>
  <cellXfs count="8">
    <xf numFmtId="0" fontId="0" fillId="0" borderId="0" xfId="0"/>
    <xf numFmtId="8" fontId="0" fillId="0" borderId="0" xfId="0" applyNumberFormat="1"/>
    <xf numFmtId="0" fontId="1" fillId="0" borderId="0" xfId="1"/>
    <xf numFmtId="0" fontId="2" fillId="0" borderId="1" xfId="2"/>
    <xf numFmtId="0" fontId="3" fillId="2" borderId="2" xfId="3"/>
    <xf numFmtId="6" fontId="0" fillId="0" borderId="0" xfId="0" applyNumberFormat="1"/>
    <xf numFmtId="0" fontId="5" fillId="3" borderId="0" xfId="4"/>
    <xf numFmtId="0" fontId="1" fillId="3" borderId="0" xfId="1" applyFill="1"/>
  </cellXfs>
  <cellStyles count="5">
    <cellStyle name="40% - Accent1" xfId="4" builtinId="31"/>
    <cellStyle name="Calculation" xfId="3" builtinId="22"/>
    <cellStyle name="Heading 3" xfId="2" builtinId="1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565150</xdr:colOff>
          <xdr:row>3</xdr:row>
          <xdr:rowOff>107950</xdr:rowOff>
        </xdr:from>
        <xdr:to>
          <xdr:col>7</xdr:col>
          <xdr:colOff>19050</xdr:colOff>
          <xdr:row>6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Northwind Queries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E9C8-E26A-44B1-95F3-DEE825D2C90E}">
  <sheetPr codeName="Sheet3"/>
  <dimension ref="A2:F23"/>
  <sheetViews>
    <sheetView topLeftCell="A12" workbookViewId="0">
      <selection activeCell="E16" sqref="E16"/>
    </sheetView>
  </sheetViews>
  <sheetFormatPr defaultRowHeight="14.5" x14ac:dyDescent="0.35"/>
  <cols>
    <col min="1" max="2" width="11.08984375" customWidth="1"/>
    <col min="3" max="3" width="12.08984375" customWidth="1"/>
    <col min="4" max="4" width="11.08984375" customWidth="1"/>
    <col min="5" max="5" width="10.81640625" customWidth="1"/>
    <col min="6" max="6" width="17.08984375" customWidth="1"/>
  </cols>
  <sheetData>
    <row r="2" spans="1:6" ht="23.5" x14ac:dyDescent="0.55000000000000004">
      <c r="A2" s="2" t="s">
        <v>0</v>
      </c>
      <c r="B2" s="2"/>
      <c r="C2" s="2"/>
      <c r="D2" s="2"/>
    </row>
    <row r="4" spans="1:6" ht="15" thickBot="1" x14ac:dyDescent="0.4">
      <c r="A4" s="3" t="s">
        <v>4</v>
      </c>
      <c r="B4" s="3" t="s">
        <v>5</v>
      </c>
      <c r="C4" s="3" t="s">
        <v>11</v>
      </c>
      <c r="D4" s="3" t="s">
        <v>10</v>
      </c>
      <c r="E4" s="3" t="s">
        <v>9</v>
      </c>
      <c r="F4" s="3" t="s">
        <v>0</v>
      </c>
    </row>
    <row r="5" spans="1:6" x14ac:dyDescent="0.35">
      <c r="A5" t="s">
        <v>2</v>
      </c>
      <c r="B5">
        <v>300</v>
      </c>
      <c r="C5" s="1">
        <v>14</v>
      </c>
      <c r="D5" s="1">
        <f>B5*C5</f>
        <v>4200</v>
      </c>
      <c r="E5" s="5">
        <v>6000</v>
      </c>
      <c r="F5" s="4" t="str" cm="1">
        <f t="array" ref="F5">profitmargin(E5,D5)</f>
        <v>30%</v>
      </c>
    </row>
    <row r="6" spans="1:6" x14ac:dyDescent="0.35">
      <c r="A6" t="s">
        <v>3</v>
      </c>
      <c r="B6">
        <v>400</v>
      </c>
      <c r="C6" s="1">
        <v>14.99</v>
      </c>
      <c r="D6" s="1">
        <f>B6*C6</f>
        <v>5996</v>
      </c>
      <c r="E6" s="5">
        <v>7000</v>
      </c>
      <c r="F6" s="4" t="str" cm="1">
        <f t="array" ref="F6">profitmargin(E6,D6)</f>
        <v>14%</v>
      </c>
    </row>
    <row r="7" spans="1:6" x14ac:dyDescent="0.35">
      <c r="A7" t="s">
        <v>1</v>
      </c>
      <c r="B7">
        <v>500</v>
      </c>
      <c r="C7" s="1">
        <v>12.99</v>
      </c>
      <c r="D7" s="1">
        <f>B7*C7</f>
        <v>6495</v>
      </c>
      <c r="E7" s="5">
        <v>8000</v>
      </c>
      <c r="F7" s="4" t="str" cm="1">
        <f t="array" ref="F7">profitmargin(E7,D7)</f>
        <v>19%</v>
      </c>
    </row>
    <row r="9" spans="1:6" ht="23.5" x14ac:dyDescent="0.55000000000000004">
      <c r="A9" s="2" t="s">
        <v>6</v>
      </c>
      <c r="B9" s="2"/>
      <c r="C9" s="2"/>
      <c r="D9" s="2"/>
    </row>
    <row r="11" spans="1:6" x14ac:dyDescent="0.35">
      <c r="A11" t="s">
        <v>12</v>
      </c>
      <c r="C11" s="5">
        <v>9000</v>
      </c>
    </row>
    <row r="12" spans="1:6" x14ac:dyDescent="0.35">
      <c r="A12" t="s">
        <v>16</v>
      </c>
      <c r="C12" s="5">
        <v>4000</v>
      </c>
    </row>
    <row r="13" spans="1:6" x14ac:dyDescent="0.35">
      <c r="A13" t="s">
        <v>8</v>
      </c>
      <c r="C13" s="5">
        <v>1000</v>
      </c>
    </row>
    <row r="14" spans="1:6" x14ac:dyDescent="0.35">
      <c r="A14" t="s">
        <v>15</v>
      </c>
      <c r="C14" s="5">
        <f>C12+C13</f>
        <v>5000</v>
      </c>
    </row>
    <row r="15" spans="1:6" x14ac:dyDescent="0.35">
      <c r="A15" t="s">
        <v>7</v>
      </c>
      <c r="C15" s="4" t="str" cm="1">
        <f t="array" ref="C15">profitmargin(C11,C14)</f>
        <v>44%</v>
      </c>
    </row>
    <row r="17" spans="1:3" ht="23.5" x14ac:dyDescent="0.55000000000000004">
      <c r="A17" s="2" t="s">
        <v>13</v>
      </c>
    </row>
    <row r="18" spans="1:3" x14ac:dyDescent="0.35">
      <c r="A18" t="s">
        <v>12</v>
      </c>
      <c r="C18" s="5">
        <v>9000</v>
      </c>
    </row>
    <row r="19" spans="1:3" x14ac:dyDescent="0.35">
      <c r="A19" t="s">
        <v>10</v>
      </c>
      <c r="C19" s="5">
        <v>4000</v>
      </c>
    </row>
    <row r="20" spans="1:3" x14ac:dyDescent="0.35">
      <c r="A20" t="s">
        <v>8</v>
      </c>
      <c r="C20" s="5">
        <v>1000</v>
      </c>
    </row>
    <row r="21" spans="1:3" x14ac:dyDescent="0.35">
      <c r="A21" t="s">
        <v>14</v>
      </c>
      <c r="C21" s="5">
        <v>500</v>
      </c>
    </row>
    <row r="22" spans="1:3" x14ac:dyDescent="0.35">
      <c r="A22" t="s">
        <v>15</v>
      </c>
      <c r="C22" s="5">
        <f>C19+C20+C21</f>
        <v>5500</v>
      </c>
    </row>
    <row r="23" spans="1:3" x14ac:dyDescent="0.35">
      <c r="A23" t="s">
        <v>17</v>
      </c>
      <c r="C23" s="4" t="str" cm="1">
        <f t="array" ref="C23">profitmargin(C18,C22)</f>
        <v>39%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27AA6-3A50-4A6D-A60F-86ACA1D27A29}">
  <sheetPr codeName="Sheet2"/>
  <dimension ref="C2:I8"/>
  <sheetViews>
    <sheetView tabSelected="1" workbookViewId="0">
      <selection activeCell="I12" sqref="I12"/>
    </sheetView>
  </sheetViews>
  <sheetFormatPr defaultRowHeight="14.5" x14ac:dyDescent="0.35"/>
  <sheetData>
    <row r="2" spans="3:9" ht="23.5" x14ac:dyDescent="0.55000000000000004">
      <c r="C2" s="6"/>
      <c r="D2" s="7" t="s">
        <v>18</v>
      </c>
      <c r="E2" s="7"/>
      <c r="F2" s="6"/>
      <c r="G2" s="6"/>
      <c r="H2" s="6"/>
      <c r="I2" s="6"/>
    </row>
    <row r="3" spans="3:9" x14ac:dyDescent="0.35">
      <c r="C3" s="6" t="s">
        <v>19</v>
      </c>
      <c r="D3" s="6"/>
      <c r="E3" s="6"/>
      <c r="F3" s="6"/>
      <c r="G3" s="6"/>
      <c r="H3" s="6"/>
      <c r="I3" s="6"/>
    </row>
    <row r="4" spans="3:9" x14ac:dyDescent="0.35">
      <c r="C4" s="6"/>
      <c r="D4" s="6"/>
      <c r="E4" s="6"/>
      <c r="F4" s="6"/>
      <c r="G4" s="6"/>
      <c r="H4" s="6"/>
      <c r="I4" s="6"/>
    </row>
    <row r="5" spans="3:9" x14ac:dyDescent="0.35">
      <c r="C5" s="6"/>
      <c r="D5" s="6"/>
      <c r="E5" s="6"/>
      <c r="F5" s="6"/>
      <c r="G5" s="6"/>
      <c r="H5" s="6"/>
      <c r="I5" s="6"/>
    </row>
    <row r="6" spans="3:9" x14ac:dyDescent="0.35">
      <c r="C6" s="6"/>
      <c r="D6" s="6"/>
      <c r="E6" s="6"/>
      <c r="F6" s="6"/>
      <c r="G6" s="6"/>
      <c r="H6" s="6"/>
      <c r="I6" s="6"/>
    </row>
    <row r="7" spans="3:9" x14ac:dyDescent="0.35">
      <c r="C7" s="6"/>
      <c r="D7" s="6"/>
      <c r="E7" s="6"/>
      <c r="F7" s="6"/>
      <c r="G7" s="6"/>
      <c r="H7" s="6"/>
      <c r="I7" s="6"/>
    </row>
    <row r="8" spans="3:9" x14ac:dyDescent="0.35">
      <c r="C8" s="6"/>
      <c r="D8" s="6"/>
      <c r="E8" s="6"/>
      <c r="F8" s="6"/>
      <c r="G8" s="6"/>
      <c r="H8" s="6"/>
      <c r="I8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565150</xdr:colOff>
                    <xdr:row>3</xdr:row>
                    <xdr:rowOff>107950</xdr:rowOff>
                  </from>
                  <to>
                    <xdr:col>7</xdr:col>
                    <xdr:colOff>19050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07E6F0-36B1-464C-BF48-D5996144A8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Profit Margin</vt:lpstr>
      <vt:lpstr>Northwind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Melissa Melissa</dc:creator>
  <cp:lastModifiedBy>Melissa Melissa</cp:lastModifiedBy>
  <dcterms:created xsi:type="dcterms:W3CDTF">2021-03-11T21:16:43Z</dcterms:created>
  <dcterms:modified xsi:type="dcterms:W3CDTF">2021-03-19T22:18:18Z</dcterms:modified>
</cp:coreProperties>
</file>